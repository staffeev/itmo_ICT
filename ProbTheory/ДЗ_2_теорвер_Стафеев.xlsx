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hunderobot\Desktop\"/>
    </mc:Choice>
  </mc:AlternateContent>
  <xr:revisionPtr revIDLastSave="0" documentId="13_ncr:1_{EE5AABAA-C7A0-45F6-982C-5889E8A069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ДЗ Стафеев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" i="2" l="1"/>
  <c r="G96" i="2"/>
  <c r="D111" i="2"/>
  <c r="D110" i="2"/>
  <c r="I103" i="2"/>
  <c r="D97" i="2"/>
  <c r="D96" i="2"/>
  <c r="F94" i="2"/>
  <c r="G94" i="2"/>
  <c r="H94" i="2"/>
  <c r="I94" i="2"/>
  <c r="H104" i="2"/>
  <c r="H105" i="2"/>
  <c r="H106" i="2"/>
  <c r="H107" i="2"/>
  <c r="H103" i="2"/>
  <c r="G93" i="2"/>
  <c r="H93" i="2"/>
  <c r="I93" i="2"/>
  <c r="F93" i="2"/>
  <c r="E104" i="2"/>
  <c r="E105" i="2"/>
  <c r="E106" i="2"/>
  <c r="E107" i="2"/>
  <c r="E103" i="2"/>
  <c r="G82" i="2"/>
  <c r="H82" i="2"/>
  <c r="I82" i="2"/>
  <c r="F82" i="2"/>
  <c r="F49" i="2"/>
  <c r="F9" i="2"/>
  <c r="G31" i="2"/>
  <c r="H31" i="2"/>
  <c r="I31" i="2"/>
  <c r="F31" i="2"/>
  <c r="E24" i="2"/>
  <c r="E25" i="2"/>
  <c r="E26" i="2"/>
  <c r="E27" i="2"/>
  <c r="E23" i="2"/>
  <c r="J14" i="2"/>
  <c r="G83" i="2" s="1" a="1"/>
  <c r="G83" i="2" s="1"/>
  <c r="K14" i="2"/>
  <c r="H83" i="2" s="1" a="1"/>
  <c r="H83" i="2" s="1"/>
  <c r="L14" i="2"/>
  <c r="I83" i="2" s="1" a="1"/>
  <c r="I83" i="2" s="1"/>
  <c r="J13" i="2"/>
  <c r="K13" i="2"/>
  <c r="L13" i="2"/>
  <c r="I13" i="2"/>
  <c r="F15" i="2"/>
  <c r="F104" i="2" s="1" a="1"/>
  <c r="F104" i="2" s="1"/>
  <c r="F16" i="2"/>
  <c r="H32" i="2" s="1"/>
  <c r="F17" i="2"/>
  <c r="F106" i="2" s="1" a="1"/>
  <c r="F106" i="2" s="1"/>
  <c r="F14" i="2"/>
  <c r="F103" i="2" s="1" a="1"/>
  <c r="F103" i="2" s="1"/>
  <c r="E15" i="2"/>
  <c r="E16" i="2"/>
  <c r="E17" i="2"/>
  <c r="E18" i="2"/>
  <c r="E14" i="2"/>
  <c r="G7" i="2"/>
  <c r="I14" i="2" s="1"/>
  <c r="F26" i="2" s="1"/>
  <c r="F83" i="2" l="1" a="1"/>
  <c r="F83" i="2" s="1"/>
  <c r="F105" i="2" a="1"/>
  <c r="F105" i="2" s="1"/>
  <c r="F23" i="2"/>
  <c r="F50" i="2"/>
  <c r="F51" i="2" s="1"/>
  <c r="F38" i="2"/>
  <c r="G32" i="2"/>
  <c r="F18" i="2"/>
  <c r="F37" i="2" s="1"/>
  <c r="F24" i="2"/>
  <c r="F25" i="2"/>
  <c r="F27" i="2"/>
  <c r="I32" i="2"/>
  <c r="F32" i="2"/>
  <c r="F44" i="2" l="1" a="1"/>
  <c r="F44" i="2" s="1"/>
  <c r="I44" i="2" s="1"/>
  <c r="F61" i="2"/>
  <c r="F107" i="2" a="1"/>
  <c r="F107" i="2" s="1"/>
  <c r="F39" i="2"/>
  <c r="F65" i="2"/>
  <c r="C62" i="2"/>
  <c r="D61" i="2"/>
  <c r="F62" i="2"/>
  <c r="C64" i="2"/>
  <c r="D64" i="2"/>
  <c r="E64" i="2"/>
  <c r="D65" i="2"/>
  <c r="D62" i="2" l="1"/>
  <c r="E65" i="2"/>
  <c r="C65" i="2"/>
  <c r="F64" i="2"/>
  <c r="F63" i="2"/>
  <c r="E63" i="2"/>
  <c r="D63" i="2"/>
  <c r="C63" i="2"/>
  <c r="C61" i="2"/>
  <c r="E61" i="2"/>
  <c r="F43" i="2" a="1"/>
  <c r="F43" i="2" s="1"/>
  <c r="I43" i="2" s="1"/>
  <c r="I45" i="2" s="1"/>
  <c r="E62" i="2"/>
  <c r="F45" i="2" l="1"/>
  <c r="I60" i="2" l="1"/>
  <c r="F70" i="2" l="1"/>
  <c r="F75" i="2" l="1"/>
  <c r="I106" i="2"/>
  <c r="I104" i="2"/>
  <c r="I105" i="2"/>
  <c r="I10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<sst xmlns="http://schemas.openxmlformats.org/spreadsheetml/2006/main" count="58" uniqueCount="42">
  <si>
    <t>Данные</t>
  </si>
  <si>
    <t>Y</t>
  </si>
  <si>
    <t>X</t>
  </si>
  <si>
    <t>P(X=xi)</t>
  </si>
  <si>
    <t>P(Y=yi)</t>
  </si>
  <si>
    <t>P(X=xi|Y=y1)</t>
  </si>
  <si>
    <t>P(Y=yi|X=x3)</t>
  </si>
  <si>
    <t>2. Составьте маргинальные законы распределения с.в. Х и У</t>
  </si>
  <si>
    <t xml:space="preserve">3. Найдите условный закон распределения с.в. Х при условии, что У приняла значение Y=y1 </t>
  </si>
  <si>
    <t>4. Найдите условный закон распределения с.в. У при условии, что Х приняла значение Х=х3</t>
  </si>
  <si>
    <t>6. Вычислите дисперсию D = (Dx,Dy) и среднее квадратическое отклонение(бx,бy) случайного вектора (Х, Y).</t>
  </si>
  <si>
    <t>7. Являются ли случайные величины Х и У независимыми? Докажите.</t>
  </si>
  <si>
    <t>10. Сделайте вывод, являются ли случайные величины Х и Y некоррелированными? Объясните.</t>
  </si>
  <si>
    <t>11. Вычислите условные математические ожидания M(X/Y=yj). Найдите регрессию Х на Y.</t>
  </si>
  <si>
    <t>Вариант 20</t>
  </si>
  <si>
    <t>p51 =</t>
  </si>
  <si>
    <t>EX =</t>
  </si>
  <si>
    <t>EY =</t>
  </si>
  <si>
    <t>DX =</t>
  </si>
  <si>
    <t>DY =</t>
  </si>
  <si>
    <t>D=(Dx,Dy)</t>
  </si>
  <si>
    <t>E=(Ex,Ey)</t>
  </si>
  <si>
    <t>5. Вычислите математическое ожидание E = (Ex,Ey) случайного вектора (Х,Y)</t>
  </si>
  <si>
    <t>σX =</t>
  </si>
  <si>
    <t>σY =</t>
  </si>
  <si>
    <t>σ = (σX, σY)</t>
  </si>
  <si>
    <t>P(X=-4,Y=3) =</t>
  </si>
  <si>
    <t>P(X=-4)*P(Y=3) =</t>
  </si>
  <si>
    <t>Равны?</t>
  </si>
  <si>
    <t>cov(X, Y) =</t>
  </si>
  <si>
    <t>8. Вычислите ковариацию случайных величин Х и У.</t>
  </si>
  <si>
    <t>9. Вычислите коэффициент корреляции r(X,Y) случайных величин Х и У.</t>
  </si>
  <si>
    <t>r(X, Y) =</t>
  </si>
  <si>
    <t>r(X, Y)=0 ?</t>
  </si>
  <si>
    <r>
      <t>1. Найдите вероятность </t>
    </r>
    <r>
      <rPr>
        <b/>
        <sz val="11"/>
        <color rgb="FF000000"/>
        <rFont val="Calibri"/>
        <family val="2"/>
        <charset val="204"/>
        <scheme val="minor"/>
      </rPr>
      <t xml:space="preserve"> P(ij)</t>
    </r>
  </si>
  <si>
    <t>E(X|Y=yi)</t>
  </si>
  <si>
    <t>12. Вычислите условные математические ожидания E(Y / X=xi). Найдите регрессию У на Х.</t>
  </si>
  <si>
    <t>E(Y|X=xi)</t>
  </si>
  <si>
    <t>Регрессия</t>
  </si>
  <si>
    <t>a =</t>
  </si>
  <si>
    <t>b =</t>
  </si>
  <si>
    <t>E(X|Y=yi)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</si>
</sst>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E0E0E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2" borderId="8" xfId="0" applyFill="1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50</xdr:row>
      <xdr:rowOff>176213</xdr:rowOff>
    </xdr:from>
    <xdr:ext cx="5383846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305A16-024B-54E6-6345-C86F2CB5B897}"/>
            </a:ext>
          </a:extLst>
        </xdr:cNvPr>
        <xdr:cNvSpPr txBox="1"/>
      </xdr:nvSpPr>
      <xdr:spPr>
        <a:xfrm>
          <a:off x="771525" y="11101388"/>
          <a:ext cx="538384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kern="1200"/>
            <a:t>Величины</a:t>
          </a:r>
          <a:r>
            <a:rPr lang="ru-RU" sz="1100" kern="1200" baseline="0"/>
            <a:t> не являются независимыми, так как, например, </a:t>
          </a:r>
          <a:r>
            <a:rPr lang="en-US" sz="1100" kern="1200" baseline="0"/>
            <a:t>P(X=-4,Y=3) != P(X=-4)*P(Y=3)</a:t>
          </a:r>
          <a:endParaRPr lang="ru-RU" sz="1100" kern="1200"/>
        </a:p>
      </xdr:txBody>
    </xdr:sp>
    <xdr:clientData/>
  </xdr:oneCellAnchor>
  <xdr:twoCellAnchor editAs="oneCell">
    <xdr:from>
      <xdr:col>0</xdr:col>
      <xdr:colOff>214314</xdr:colOff>
      <xdr:row>56</xdr:row>
      <xdr:rowOff>152400</xdr:rowOff>
    </xdr:from>
    <xdr:to>
      <xdr:col>3</xdr:col>
      <xdr:colOff>280988</xdr:colOff>
      <xdr:row>58</xdr:row>
      <xdr:rowOff>140651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1A8206F-EC8D-16F3-D5CD-CA095D82A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4" y="12330113"/>
          <a:ext cx="2114549" cy="350201"/>
        </a:xfrm>
        <a:prstGeom prst="rect">
          <a:avLst/>
        </a:prstGeom>
      </xdr:spPr>
    </xdr:pic>
    <xdr:clientData/>
  </xdr:twoCellAnchor>
  <xdr:oneCellAnchor>
    <xdr:from>
      <xdr:col>0</xdr:col>
      <xdr:colOff>285750</xdr:colOff>
      <xdr:row>75</xdr:row>
      <xdr:rowOff>128588</xdr:rowOff>
    </xdr:from>
    <xdr:ext cx="626543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617D30-EF87-0AD9-04F7-F3FBC607A4D5}"/>
            </a:ext>
          </a:extLst>
        </xdr:cNvPr>
        <xdr:cNvSpPr txBox="1"/>
      </xdr:nvSpPr>
      <xdr:spPr>
        <a:xfrm>
          <a:off x="285750" y="16306801"/>
          <a:ext cx="626543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kern="1200"/>
            <a:t>Коэффициент корреляции не равен нулю, значит, величины </a:t>
          </a:r>
          <a:r>
            <a:rPr lang="en-US" sz="1100" kern="1200"/>
            <a:t>X</a:t>
          </a:r>
          <a:r>
            <a:rPr lang="ru-RU" sz="1100" kern="1200"/>
            <a:t> и </a:t>
          </a:r>
          <a:r>
            <a:rPr lang="en-US" sz="1100" kern="1200"/>
            <a:t>Y </a:t>
          </a:r>
          <a:r>
            <a:rPr lang="ru-RU" sz="1100" kern="1200"/>
            <a:t>не являются некоррелированными</a:t>
          </a:r>
        </a:p>
      </xdr:txBody>
    </xdr:sp>
    <xdr:clientData/>
  </xdr:oneCellAnchor>
  <xdr:twoCellAnchor editAs="oneCell">
    <xdr:from>
      <xdr:col>0</xdr:col>
      <xdr:colOff>442914</xdr:colOff>
      <xdr:row>79</xdr:row>
      <xdr:rowOff>219076</xdr:rowOff>
    </xdr:from>
    <xdr:to>
      <xdr:col>3</xdr:col>
      <xdr:colOff>219077</xdr:colOff>
      <xdr:row>81</xdr:row>
      <xdr:rowOff>22734</xdr:rowOff>
    </xdr:to>
    <xdr:pic>
      <xdr:nvPicPr>
        <xdr:cNvPr id="8" name="Рисунок 7" descr="Условное математическое ожидание">
          <a:extLst>
            <a:ext uri="{FF2B5EF4-FFF2-40B4-BE49-F238E27FC236}">
              <a16:creationId xmlns:a16="http://schemas.microsoft.com/office/drawing/2014/main" id="{17B6B73D-C9C4-B46F-B3EA-BAB453397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4" y="17492664"/>
          <a:ext cx="1824038" cy="413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109538</xdr:colOff>
      <xdr:row>84</xdr:row>
      <xdr:rowOff>42862</xdr:rowOff>
    </xdr:from>
    <xdr:to>
      <xdr:col>6</xdr:col>
      <xdr:colOff>23840</xdr:colOff>
      <xdr:row>87</xdr:row>
      <xdr:rowOff>133354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707F4D3-8B92-1CB9-4A67-C505DEDD2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238" y="18468975"/>
          <a:ext cx="3629052" cy="633417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</xdr:colOff>
      <xdr:row>87</xdr:row>
      <xdr:rowOff>104775</xdr:rowOff>
    </xdr:from>
    <xdr:to>
      <xdr:col>9</xdr:col>
      <xdr:colOff>381012</xdr:colOff>
      <xdr:row>91</xdr:row>
      <xdr:rowOff>14292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AD7DB2D-E496-1B43-944C-87166DB88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2062" y="19073813"/>
          <a:ext cx="1719275" cy="633417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</xdr:colOff>
      <xdr:row>87</xdr:row>
      <xdr:rowOff>9525</xdr:rowOff>
    </xdr:from>
    <xdr:to>
      <xdr:col>6</xdr:col>
      <xdr:colOff>533430</xdr:colOff>
      <xdr:row>90</xdr:row>
      <xdr:rowOff>123830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C168D43C-C3E3-44E0-57E1-7DAEBBC4C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0562" y="18978563"/>
          <a:ext cx="4205318" cy="657230"/>
        </a:xfrm>
        <a:prstGeom prst="rect">
          <a:avLst/>
        </a:prstGeom>
      </xdr:spPr>
    </xdr:pic>
    <xdr:clientData/>
  </xdr:twoCellAnchor>
  <xdr:twoCellAnchor editAs="oneCell">
    <xdr:from>
      <xdr:col>6</xdr:col>
      <xdr:colOff>33338</xdr:colOff>
      <xdr:row>84</xdr:row>
      <xdr:rowOff>52387</xdr:rowOff>
    </xdr:from>
    <xdr:to>
      <xdr:col>9</xdr:col>
      <xdr:colOff>223854</xdr:colOff>
      <xdr:row>87</xdr:row>
      <xdr:rowOff>9528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55355ED9-53E8-8894-2D4E-40FDC349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95788" y="18478500"/>
          <a:ext cx="2238391" cy="500066"/>
        </a:xfrm>
        <a:prstGeom prst="rect">
          <a:avLst/>
        </a:prstGeom>
      </xdr:spPr>
    </xdr:pic>
    <xdr:clientData/>
  </xdr:twoCellAnchor>
  <xdr:oneCellAnchor>
    <xdr:from>
      <xdr:col>0</xdr:col>
      <xdr:colOff>309563</xdr:colOff>
      <xdr:row>102</xdr:row>
      <xdr:rowOff>128587</xdr:rowOff>
    </xdr:from>
    <xdr:ext cx="1734193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086DB9-6CB6-B5BE-9A7A-CC661A6453B5}"/>
            </a:ext>
          </a:extLst>
        </xdr:cNvPr>
        <xdr:cNvSpPr txBox="1"/>
      </xdr:nvSpPr>
      <xdr:spPr>
        <a:xfrm>
          <a:off x="309563" y="22145625"/>
          <a:ext cx="173419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kern="1200"/>
            <a:t>Все</a:t>
          </a:r>
          <a:r>
            <a:rPr lang="ru-RU" sz="1100" kern="1200" baseline="0"/>
            <a:t> формулы аналогичны</a:t>
          </a:r>
          <a:endParaRPr lang="ru-RU" sz="1100" kern="1200"/>
        </a:p>
      </xdr:txBody>
    </xdr:sp>
    <xdr:clientData/>
  </xdr:oneCellAnchor>
  <xdr:oneCellAnchor>
    <xdr:from>
      <xdr:col>9</xdr:col>
      <xdr:colOff>338139</xdr:colOff>
      <xdr:row>86</xdr:row>
      <xdr:rowOff>95250</xdr:rowOff>
    </xdr:from>
    <xdr:ext cx="3243262" cy="16423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497A21-D849-2F70-23EB-767BD63E80E4}"/>
            </a:ext>
          </a:extLst>
        </xdr:cNvPr>
        <xdr:cNvSpPr txBox="1"/>
      </xdr:nvSpPr>
      <xdr:spPr>
        <a:xfrm>
          <a:off x="6748464" y="18883313"/>
          <a:ext cx="3243262" cy="16423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kern="1200"/>
            <a:t>NB! </a:t>
          </a:r>
          <a:r>
            <a:rPr lang="ru-RU" sz="1100" kern="1200"/>
            <a:t>Значения</a:t>
          </a:r>
          <a:r>
            <a:rPr lang="ru-RU" sz="1100" kern="1200" baseline="0"/>
            <a:t> условного матожидания, посчитанные по определению и через регрессию, не совпадают.</a:t>
          </a:r>
          <a:br>
            <a:rPr lang="ru-RU" sz="1100" kern="1200" baseline="0"/>
          </a:br>
          <a:r>
            <a:rPr lang="ru-RU" sz="1100" kern="1200" baseline="0"/>
            <a:t>Это логично и так в целом и должно быть, потому что линейная регрессия - это аппроксимация и попытка уменьшить значение ошибки</a:t>
          </a:r>
          <a:br>
            <a:rPr lang="ru-RU" sz="1100" kern="1200" baseline="0"/>
          </a:br>
          <a:r>
            <a:rPr lang="ru-RU" sz="1100" kern="1200" baseline="0"/>
            <a:t>с помощью метода наименьших квадратов. И поскольку это аппроксимация, то значения не обязаны быть теми же самым</a:t>
          </a:r>
          <a:endParaRPr lang="ru-RU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B82C-C16C-4A93-BFFD-C734C1786974}">
  <dimension ref="A1:L111"/>
  <sheetViews>
    <sheetView tabSelected="1" topLeftCell="A85" workbookViewId="0">
      <selection activeCell="M100" sqref="M100"/>
    </sheetView>
  </sheetViews>
  <sheetFormatPr defaultRowHeight="14.25" x14ac:dyDescent="0.45"/>
  <cols>
    <col min="3" max="3" width="10.53125" customWidth="1"/>
    <col min="5" max="5" width="14.265625" customWidth="1"/>
    <col min="8" max="8" width="10.53125" customWidth="1"/>
  </cols>
  <sheetData>
    <row r="1" spans="1:12" x14ac:dyDescent="0.45">
      <c r="E1" t="s">
        <v>0</v>
      </c>
      <c r="G1" s="20" t="s">
        <v>1</v>
      </c>
      <c r="H1" s="21"/>
      <c r="I1" s="21"/>
      <c r="J1" s="22"/>
    </row>
    <row r="2" spans="1:12" x14ac:dyDescent="0.45">
      <c r="F2" s="11"/>
      <c r="G2" s="9">
        <v>-6</v>
      </c>
      <c r="H2" s="9">
        <v>2</v>
      </c>
      <c r="I2" s="9">
        <v>3</v>
      </c>
      <c r="J2" s="10">
        <v>10</v>
      </c>
    </row>
    <row r="3" spans="1:12" x14ac:dyDescent="0.45">
      <c r="C3" s="15" t="s">
        <v>14</v>
      </c>
      <c r="E3" s="23" t="s">
        <v>2</v>
      </c>
      <c r="F3" s="12">
        <v>-7</v>
      </c>
      <c r="G3">
        <v>0.05</v>
      </c>
      <c r="H3">
        <v>7.0000000000000007E-2</v>
      </c>
      <c r="I3">
        <v>0.02</v>
      </c>
      <c r="J3" s="5">
        <v>0.09</v>
      </c>
    </row>
    <row r="4" spans="1:12" x14ac:dyDescent="0.45">
      <c r="E4" s="24"/>
      <c r="F4" s="12">
        <v>-4</v>
      </c>
      <c r="G4">
        <v>0.05</v>
      </c>
      <c r="H4">
        <v>7.0000000000000007E-2</v>
      </c>
      <c r="I4">
        <v>0.04</v>
      </c>
      <c r="J4" s="5">
        <v>0.1</v>
      </c>
    </row>
    <row r="5" spans="1:12" x14ac:dyDescent="0.45">
      <c r="E5" s="24"/>
      <c r="F5" s="12">
        <v>-3</v>
      </c>
      <c r="G5">
        <v>0.06</v>
      </c>
      <c r="H5">
        <v>0.08</v>
      </c>
      <c r="I5">
        <v>0.04</v>
      </c>
      <c r="J5" s="5">
        <v>0.03</v>
      </c>
    </row>
    <row r="6" spans="1:12" x14ac:dyDescent="0.45">
      <c r="E6" s="24"/>
      <c r="F6" s="12">
        <v>3</v>
      </c>
      <c r="G6">
        <v>0.01</v>
      </c>
      <c r="H6">
        <v>0.01</v>
      </c>
      <c r="I6">
        <v>0.01</v>
      </c>
      <c r="J6" s="5">
        <v>0.03</v>
      </c>
    </row>
    <row r="7" spans="1:12" x14ac:dyDescent="0.45">
      <c r="E7" s="25"/>
      <c r="F7" s="13">
        <v>15</v>
      </c>
      <c r="G7" s="14">
        <f>1-SUM(G3:J6,H7:J7)</f>
        <v>4.9999999999999822E-2</v>
      </c>
      <c r="H7" s="7">
        <v>0.03</v>
      </c>
      <c r="I7" s="7">
        <v>0.09</v>
      </c>
      <c r="J7" s="8">
        <v>7.0000000000000007E-2</v>
      </c>
    </row>
    <row r="9" spans="1:12" x14ac:dyDescent="0.45">
      <c r="A9" s="27" t="s">
        <v>34</v>
      </c>
      <c r="B9" s="27"/>
      <c r="C9" s="27"/>
      <c r="D9" s="27"/>
      <c r="E9" t="s">
        <v>15</v>
      </c>
      <c r="F9">
        <f>1-SUM(G3:J6)-SUM(H7:J7)</f>
        <v>4.9999999999999878E-2</v>
      </c>
    </row>
    <row r="12" spans="1:12" ht="28.9" customHeight="1" x14ac:dyDescent="0.45">
      <c r="A12" s="26" t="s">
        <v>7</v>
      </c>
      <c r="B12" s="26"/>
      <c r="C12" s="26"/>
      <c r="D12" s="26"/>
    </row>
    <row r="13" spans="1:12" x14ac:dyDescent="0.45">
      <c r="E13" s="11" t="s">
        <v>2</v>
      </c>
      <c r="F13" s="11" t="s">
        <v>3</v>
      </c>
      <c r="H13" s="11" t="s">
        <v>1</v>
      </c>
      <c r="I13" s="11">
        <f>G2</f>
        <v>-6</v>
      </c>
      <c r="J13" s="11">
        <f t="shared" ref="J13:L13" si="0">H2</f>
        <v>2</v>
      </c>
      <c r="K13" s="11">
        <f t="shared" si="0"/>
        <v>3</v>
      </c>
      <c r="L13" s="11">
        <f t="shared" si="0"/>
        <v>10</v>
      </c>
    </row>
    <row r="14" spans="1:12" x14ac:dyDescent="0.45">
      <c r="E14" s="11">
        <f>F3</f>
        <v>-7</v>
      </c>
      <c r="F14" s="11">
        <f>SUM(G3:J3)</f>
        <v>0.23</v>
      </c>
      <c r="H14" s="11" t="s">
        <v>4</v>
      </c>
      <c r="I14" s="11">
        <f>SUM(G3:G7)</f>
        <v>0.21999999999999983</v>
      </c>
      <c r="J14" s="11">
        <f t="shared" ref="J14:L14" si="1">SUM(H3:H7)</f>
        <v>0.26</v>
      </c>
      <c r="K14" s="11">
        <f t="shared" si="1"/>
        <v>0.2</v>
      </c>
      <c r="L14" s="11">
        <f t="shared" si="1"/>
        <v>0.32</v>
      </c>
    </row>
    <row r="15" spans="1:12" x14ac:dyDescent="0.45">
      <c r="E15" s="11">
        <f t="shared" ref="E15:E18" si="2">F4</f>
        <v>-4</v>
      </c>
      <c r="F15" s="11">
        <f t="shared" ref="F15:F18" si="3">SUM(G4:J4)</f>
        <v>0.26</v>
      </c>
    </row>
    <row r="16" spans="1:12" x14ac:dyDescent="0.45">
      <c r="E16" s="11">
        <f t="shared" si="2"/>
        <v>-3</v>
      </c>
      <c r="F16" s="11">
        <f t="shared" si="3"/>
        <v>0.21000000000000002</v>
      </c>
    </row>
    <row r="17" spans="1:9" x14ac:dyDescent="0.45">
      <c r="E17" s="11">
        <f t="shared" si="2"/>
        <v>3</v>
      </c>
      <c r="F17" s="11">
        <f t="shared" si="3"/>
        <v>0.06</v>
      </c>
    </row>
    <row r="18" spans="1:9" x14ac:dyDescent="0.45">
      <c r="E18" s="11">
        <f t="shared" si="2"/>
        <v>15</v>
      </c>
      <c r="F18" s="11">
        <f t="shared" si="3"/>
        <v>0.23999999999999982</v>
      </c>
    </row>
    <row r="20" spans="1:9" ht="19.25" customHeight="1" x14ac:dyDescent="0.45"/>
    <row r="21" spans="1:9" ht="47.25" customHeight="1" x14ac:dyDescent="0.45">
      <c r="A21" s="26" t="s">
        <v>8</v>
      </c>
      <c r="B21" s="26"/>
      <c r="C21" s="26"/>
      <c r="D21" s="26"/>
    </row>
    <row r="22" spans="1:9" x14ac:dyDescent="0.45">
      <c r="E22" s="11" t="s">
        <v>2</v>
      </c>
      <c r="F22" s="11" t="s">
        <v>5</v>
      </c>
    </row>
    <row r="23" spans="1:9" x14ac:dyDescent="0.45">
      <c r="E23" s="11">
        <f>F3</f>
        <v>-7</v>
      </c>
      <c r="F23" s="11">
        <f>G3/I14</f>
        <v>0.22727272727272746</v>
      </c>
    </row>
    <row r="24" spans="1:9" x14ac:dyDescent="0.45">
      <c r="E24" s="11">
        <f t="shared" ref="E24:E27" si="4">F4</f>
        <v>-4</v>
      </c>
      <c r="F24" s="11">
        <f>G4/I14</f>
        <v>0.22727272727272746</v>
      </c>
    </row>
    <row r="25" spans="1:9" x14ac:dyDescent="0.45">
      <c r="E25" s="11">
        <f t="shared" si="4"/>
        <v>-3</v>
      </c>
      <c r="F25" s="11">
        <f>G5/I14</f>
        <v>0.27272727272727293</v>
      </c>
    </row>
    <row r="26" spans="1:9" x14ac:dyDescent="0.45">
      <c r="E26" s="11">
        <f t="shared" si="4"/>
        <v>3</v>
      </c>
      <c r="F26" s="11">
        <f>G6/I14</f>
        <v>4.5454545454545491E-2</v>
      </c>
    </row>
    <row r="27" spans="1:9" x14ac:dyDescent="0.45">
      <c r="E27" s="11">
        <f t="shared" si="4"/>
        <v>15</v>
      </c>
      <c r="F27" s="11">
        <f>G7/I14</f>
        <v>0.22727272727272663</v>
      </c>
    </row>
    <row r="30" spans="1:9" ht="43.9" customHeight="1" x14ac:dyDescent="0.45">
      <c r="A30" s="26" t="s">
        <v>9</v>
      </c>
      <c r="B30" s="26"/>
      <c r="C30" s="26"/>
      <c r="D30" s="26"/>
    </row>
    <row r="31" spans="1:9" x14ac:dyDescent="0.45">
      <c r="E31" s="11" t="s">
        <v>1</v>
      </c>
      <c r="F31" s="11">
        <f>G2</f>
        <v>-6</v>
      </c>
      <c r="G31" s="11">
        <f t="shared" ref="G31:I31" si="5">H2</f>
        <v>2</v>
      </c>
      <c r="H31" s="11">
        <f t="shared" si="5"/>
        <v>3</v>
      </c>
      <c r="I31" s="11">
        <f t="shared" si="5"/>
        <v>10</v>
      </c>
    </row>
    <row r="32" spans="1:9" x14ac:dyDescent="0.45">
      <c r="E32" s="11" t="s">
        <v>6</v>
      </c>
      <c r="F32" s="11">
        <f>G5/F16</f>
        <v>0.2857142857142857</v>
      </c>
      <c r="G32" s="11">
        <f>H5/F16</f>
        <v>0.38095238095238093</v>
      </c>
      <c r="H32" s="11">
        <f>I5/F16</f>
        <v>0.19047619047619047</v>
      </c>
      <c r="I32" s="11">
        <f>J5/F16</f>
        <v>0.14285714285714285</v>
      </c>
    </row>
    <row r="35" spans="1:9" ht="35.65" customHeight="1" x14ac:dyDescent="0.45">
      <c r="A35" s="26" t="s">
        <v>22</v>
      </c>
      <c r="B35" s="26"/>
      <c r="C35" s="26"/>
      <c r="D35" s="26"/>
    </row>
    <row r="36" spans="1:9" ht="13.9" customHeight="1" x14ac:dyDescent="0.45">
      <c r="A36" s="16"/>
      <c r="B36" s="16"/>
      <c r="C36" s="16"/>
      <c r="D36" s="16"/>
    </row>
    <row r="37" spans="1:9" x14ac:dyDescent="0.45">
      <c r="E37" t="s">
        <v>16</v>
      </c>
      <c r="F37">
        <f>SUMPRODUCT(F14:F18,E14:E18)</f>
        <v>0.49999999999999734</v>
      </c>
    </row>
    <row r="38" spans="1:9" x14ac:dyDescent="0.45">
      <c r="E38" t="s">
        <v>17</v>
      </c>
      <c r="F38">
        <f>SUMPRODUCT(I14:L14,I13:L13)</f>
        <v>3.0000000000000013</v>
      </c>
    </row>
    <row r="39" spans="1:9" x14ac:dyDescent="0.45">
      <c r="E39" t="s">
        <v>21</v>
      </c>
      <c r="F39" t="str">
        <f>_xlfn.CONCAT("(",TEXT(F37,"0,0")," ; ",TEXT(F38,"0,0"),")")</f>
        <v>(0,5 ; 3,0)</v>
      </c>
    </row>
    <row r="42" spans="1:9" ht="41.65" customHeight="1" x14ac:dyDescent="0.45">
      <c r="A42" s="26" t="s">
        <v>10</v>
      </c>
      <c r="B42" s="26"/>
      <c r="C42" s="26"/>
      <c r="D42" s="26"/>
    </row>
    <row r="43" spans="1:9" x14ac:dyDescent="0.45">
      <c r="E43" t="s">
        <v>18</v>
      </c>
      <c r="F43" cm="1">
        <f t="array" ref="F43">SUMPRODUCT(F14:F18,E14:E18^2)-F37^2</f>
        <v>71.609999999999957</v>
      </c>
      <c r="H43" s="17" t="s">
        <v>23</v>
      </c>
      <c r="I43">
        <f>SQRT(F43)</f>
        <v>8.46226919921601</v>
      </c>
    </row>
    <row r="44" spans="1:9" x14ac:dyDescent="0.45">
      <c r="E44" t="s">
        <v>19</v>
      </c>
      <c r="F44" cm="1">
        <f t="array" ref="F44">SUMPRODUCT(I14:L14,I13:L13^2)-F38^2</f>
        <v>33.759999999999984</v>
      </c>
      <c r="H44" s="17" t="s">
        <v>24</v>
      </c>
      <c r="I44">
        <f>SQRT(F44)</f>
        <v>5.8103356185335784</v>
      </c>
    </row>
    <row r="45" spans="1:9" x14ac:dyDescent="0.45">
      <c r="E45" t="s">
        <v>20</v>
      </c>
      <c r="F45" t="str">
        <f>_xlfn.CONCAT("(",TEXT(F43,"0,00")," ; ",TEXT(F44,"0,00"),")")</f>
        <v>(71,61 ; 33,76)</v>
      </c>
      <c r="H45" s="17" t="s">
        <v>25</v>
      </c>
      <c r="I45" t="str">
        <f>_xlfn.CONCAT("(",TEXT(I43,"0,000")," ; ",TEXT(I44,"0,000"),")")</f>
        <v>(8,462 ; 5,810)</v>
      </c>
    </row>
    <row r="48" spans="1:9" ht="31.5" customHeight="1" x14ac:dyDescent="0.45">
      <c r="A48" s="26" t="s">
        <v>11</v>
      </c>
      <c r="B48" s="26"/>
      <c r="C48" s="26"/>
      <c r="D48" s="26"/>
    </row>
    <row r="49" spans="1:9" x14ac:dyDescent="0.45">
      <c r="E49" t="s">
        <v>26</v>
      </c>
      <c r="F49">
        <f>I4</f>
        <v>0.04</v>
      </c>
    </row>
    <row r="50" spans="1:9" x14ac:dyDescent="0.45">
      <c r="E50" t="s">
        <v>27</v>
      </c>
      <c r="F50">
        <f>F15*K14</f>
        <v>5.2000000000000005E-2</v>
      </c>
    </row>
    <row r="51" spans="1:9" x14ac:dyDescent="0.45">
      <c r="E51" t="s">
        <v>28</v>
      </c>
      <c r="F51" t="b">
        <f>F49=F50</f>
        <v>0</v>
      </c>
    </row>
    <row r="56" spans="1:9" ht="27.4" customHeight="1" x14ac:dyDescent="0.45">
      <c r="A56" s="26" t="s">
        <v>30</v>
      </c>
      <c r="B56" s="26"/>
      <c r="C56" s="26"/>
      <c r="D56" s="26"/>
    </row>
    <row r="59" spans="1:9" x14ac:dyDescent="0.45">
      <c r="C59" s="20" t="s">
        <v>1</v>
      </c>
      <c r="D59" s="21"/>
      <c r="E59" s="21"/>
      <c r="F59" s="22"/>
    </row>
    <row r="60" spans="1:9" x14ac:dyDescent="0.45">
      <c r="B60" s="11"/>
      <c r="C60" s="2">
        <v>-6</v>
      </c>
      <c r="D60" s="2">
        <v>2</v>
      </c>
      <c r="E60" s="2">
        <v>3</v>
      </c>
      <c r="F60" s="3">
        <v>10</v>
      </c>
      <c r="H60" t="s">
        <v>29</v>
      </c>
      <c r="I60">
        <f>SUM(C61:F65)</f>
        <v>0.22000000000002462</v>
      </c>
    </row>
    <row r="61" spans="1:9" x14ac:dyDescent="0.45">
      <c r="A61" s="23" t="s">
        <v>2</v>
      </c>
      <c r="B61" s="4">
        <v>-7</v>
      </c>
      <c r="C61" s="1">
        <f>($B61-$F$37)*(C$60-$F$38)*G3</f>
        <v>3.3749999999999996</v>
      </c>
      <c r="D61" s="2">
        <f t="shared" ref="D61:F61" si="6">($B61-$F$37)*(D$60-$F$38)*H3</f>
        <v>0.52500000000000058</v>
      </c>
      <c r="E61" s="2">
        <f t="shared" si="6"/>
        <v>1.9984014443252811E-16</v>
      </c>
      <c r="F61" s="3">
        <f t="shared" si="6"/>
        <v>-4.724999999999997</v>
      </c>
    </row>
    <row r="62" spans="1:9" x14ac:dyDescent="0.45">
      <c r="A62" s="24"/>
      <c r="B62" s="4">
        <v>-4</v>
      </c>
      <c r="C62" s="4">
        <f t="shared" ref="C62:C65" si="7">($B62-$F$37)*(C$60-$F$38)*G4</f>
        <v>2.0249999999999995</v>
      </c>
      <c r="D62">
        <f t="shared" ref="D62:D65" si="8">($B62-$F$37)*(D$60-$F$38)*H4</f>
        <v>0.31500000000000028</v>
      </c>
      <c r="E62">
        <f t="shared" ref="E62:E65" si="9">($B62-$F$37)*(E$60-$F$38)*I4</f>
        <v>2.3980817331903368E-16</v>
      </c>
      <c r="F62" s="5">
        <f t="shared" ref="F62:F65" si="10">($B62-$F$37)*(F$60-$F$38)*J4</f>
        <v>-3.1499999999999972</v>
      </c>
    </row>
    <row r="63" spans="1:9" x14ac:dyDescent="0.45">
      <c r="A63" s="24"/>
      <c r="B63" s="4">
        <v>-3</v>
      </c>
      <c r="C63" s="4">
        <f t="shared" si="7"/>
        <v>1.8899999999999988</v>
      </c>
      <c r="D63">
        <f t="shared" si="8"/>
        <v>0.28000000000000014</v>
      </c>
      <c r="E63">
        <f t="shared" si="9"/>
        <v>1.8651746813702617E-16</v>
      </c>
      <c r="F63" s="5">
        <f t="shared" si="10"/>
        <v>-0.73499999999999921</v>
      </c>
    </row>
    <row r="64" spans="1:9" x14ac:dyDescent="0.45">
      <c r="A64" s="24"/>
      <c r="B64" s="4">
        <v>3</v>
      </c>
      <c r="C64" s="4">
        <f t="shared" si="7"/>
        <v>-0.22500000000000028</v>
      </c>
      <c r="D64">
        <f t="shared" si="8"/>
        <v>-2.5000000000000064E-2</v>
      </c>
      <c r="E64">
        <f t="shared" si="9"/>
        <v>-3.3306690738754732E-17</v>
      </c>
      <c r="F64" s="5">
        <f t="shared" si="10"/>
        <v>0.52500000000000036</v>
      </c>
    </row>
    <row r="65" spans="1:6" x14ac:dyDescent="0.45">
      <c r="A65" s="25"/>
      <c r="B65" s="6">
        <v>15</v>
      </c>
      <c r="C65" s="6">
        <f t="shared" si="7"/>
        <v>-6.5249999999999799</v>
      </c>
      <c r="D65" s="7">
        <f t="shared" si="8"/>
        <v>-0.43500000000000066</v>
      </c>
      <c r="E65" s="7">
        <f t="shared" si="9"/>
        <v>-1.7386092565629956E-15</v>
      </c>
      <c r="F65" s="8">
        <f t="shared" si="10"/>
        <v>7.1050000000000004</v>
      </c>
    </row>
    <row r="68" spans="1:6" ht="30" customHeight="1" x14ac:dyDescent="0.45">
      <c r="A68" s="26" t="s">
        <v>31</v>
      </c>
      <c r="B68" s="26"/>
      <c r="C68" s="26"/>
      <c r="D68" s="26"/>
    </row>
    <row r="70" spans="1:6" x14ac:dyDescent="0.45">
      <c r="E70" t="s">
        <v>32</v>
      </c>
      <c r="F70">
        <f>I60/(I43*I44)</f>
        <v>4.4743981317322563E-3</v>
      </c>
    </row>
    <row r="73" spans="1:6" s="15" customFormat="1" ht="42.75" customHeight="1" x14ac:dyDescent="0.45">
      <c r="A73" s="26" t="s">
        <v>12</v>
      </c>
      <c r="B73" s="26"/>
      <c r="C73" s="26"/>
      <c r="D73" s="26"/>
    </row>
    <row r="75" spans="1:6" x14ac:dyDescent="0.45">
      <c r="E75" t="s">
        <v>33</v>
      </c>
      <c r="F75" t="b">
        <f>F70=0</f>
        <v>0</v>
      </c>
    </row>
    <row r="79" spans="1:6" ht="43.5" customHeight="1" x14ac:dyDescent="0.45">
      <c r="A79" s="26" t="s">
        <v>13</v>
      </c>
      <c r="B79" s="26"/>
      <c r="C79" s="26"/>
      <c r="D79" s="26"/>
    </row>
    <row r="80" spans="1:6" ht="33.85" customHeight="1" x14ac:dyDescent="0.45">
      <c r="A80" s="16"/>
      <c r="B80" s="16"/>
      <c r="C80" s="16"/>
      <c r="D80" s="16"/>
    </row>
    <row r="82" spans="3:9" x14ac:dyDescent="0.45">
      <c r="E82" s="11" t="s">
        <v>1</v>
      </c>
      <c r="F82" s="11">
        <f>G2</f>
        <v>-6</v>
      </c>
      <c r="G82" s="11">
        <f t="shared" ref="G82:I82" si="11">H2</f>
        <v>2</v>
      </c>
      <c r="H82" s="11">
        <f t="shared" si="11"/>
        <v>3</v>
      </c>
      <c r="I82" s="11">
        <f t="shared" si="11"/>
        <v>10</v>
      </c>
    </row>
    <row r="83" spans="3:9" x14ac:dyDescent="0.45">
      <c r="E83" s="11" t="s">
        <v>35</v>
      </c>
      <c r="F83" s="11" cm="1">
        <f t="array" ref="F83">SUMPRODUCT(G3:G7/I14,$F$3:$F$7)</f>
        <v>0.22727272727271508</v>
      </c>
      <c r="G83" s="11" cm="1">
        <f t="array" ref="G83">SUMPRODUCT(H3:H7/J14,$F$3:$F$7)</f>
        <v>-2.0384615384615392</v>
      </c>
      <c r="H83" s="11" cm="1">
        <f t="array" ref="H83">SUMPRODUCT(I3:I7/K14,$F$3:$F$7)</f>
        <v>4.7999999999999989</v>
      </c>
      <c r="I83" s="11" cm="1">
        <f t="array" ref="I83">SUMPRODUCT(J3:J7/L14,$F$3:$F$7)</f>
        <v>6.2500000000000444E-2</v>
      </c>
    </row>
    <row r="93" spans="3:9" x14ac:dyDescent="0.45">
      <c r="C93" t="s">
        <v>38</v>
      </c>
      <c r="E93" s="11" t="s">
        <v>1</v>
      </c>
      <c r="F93" s="11">
        <f>G2</f>
        <v>-6</v>
      </c>
      <c r="G93" s="11">
        <f t="shared" ref="G93:I93" si="12">H2</f>
        <v>2</v>
      </c>
      <c r="H93" s="11">
        <f t="shared" si="12"/>
        <v>3</v>
      </c>
      <c r="I93" s="11">
        <f t="shared" si="12"/>
        <v>10</v>
      </c>
    </row>
    <row r="94" spans="3:9" x14ac:dyDescent="0.45">
      <c r="E94" s="11" t="s">
        <v>35</v>
      </c>
      <c r="F94" s="11">
        <f>$F$37+$F$70*($I$43/$I$44)*(F93-$F$38)</f>
        <v>0.44135071090046463</v>
      </c>
      <c r="G94" s="11">
        <f t="shared" ref="G94:I94" si="13">$F$37+$F$70*($I$43/$I$44)*(G93-$F$38)</f>
        <v>0.4934834123222715</v>
      </c>
      <c r="H94" s="11">
        <f t="shared" si="13"/>
        <v>0.49999999999999734</v>
      </c>
      <c r="I94" s="11">
        <f t="shared" si="13"/>
        <v>0.54561611374407826</v>
      </c>
    </row>
    <row r="96" spans="3:9" x14ac:dyDescent="0.45">
      <c r="C96" t="s">
        <v>39</v>
      </c>
      <c r="D96">
        <f>$F$70*$I$43/$I$44</f>
        <v>6.5165876777258519E-3</v>
      </c>
      <c r="F96" s="18" t="s">
        <v>41</v>
      </c>
      <c r="G96" s="19" t="str">
        <f>_xlfn.CONCAT(TEXT(D97,"0,00000")," + ",TEXT(D96,"0,00000"),"y")</f>
        <v>0,48045 + 0,00652y</v>
      </c>
      <c r="H96" s="19"/>
    </row>
    <row r="97" spans="1:9" x14ac:dyDescent="0.45">
      <c r="C97" t="s">
        <v>40</v>
      </c>
      <c r="D97">
        <f>$F$37-($I$60/$F$44)*$F$38</f>
        <v>0.48045023696681977</v>
      </c>
    </row>
    <row r="100" spans="1:9" ht="40.5" customHeight="1" x14ac:dyDescent="0.45">
      <c r="A100" s="26" t="s">
        <v>36</v>
      </c>
      <c r="B100" s="26"/>
      <c r="C100" s="26"/>
      <c r="D100" s="26"/>
    </row>
    <row r="101" spans="1:9" x14ac:dyDescent="0.45">
      <c r="H101" t="s">
        <v>38</v>
      </c>
    </row>
    <row r="102" spans="1:9" x14ac:dyDescent="0.45">
      <c r="E102" s="11" t="s">
        <v>2</v>
      </c>
      <c r="F102" s="11" t="s">
        <v>37</v>
      </c>
      <c r="H102" s="11" t="s">
        <v>2</v>
      </c>
      <c r="I102" s="11" t="s">
        <v>37</v>
      </c>
    </row>
    <row r="103" spans="1:9" x14ac:dyDescent="0.45">
      <c r="E103" s="11">
        <f>F3</f>
        <v>-7</v>
      </c>
      <c r="F103" s="11" cm="1">
        <f t="array" ref="F103">SUMPRODUCT(G3:J3/F14,$G$2:$J$2)</f>
        <v>3.4782608695652169</v>
      </c>
      <c r="H103" s="11">
        <f>F3</f>
        <v>-7</v>
      </c>
      <c r="I103" s="11">
        <f>$F$38+$F$70*($I$44/$I$43)*(H103-$F$37)</f>
        <v>2.976958525345621</v>
      </c>
    </row>
    <row r="104" spans="1:9" x14ac:dyDescent="0.45">
      <c r="E104" s="11">
        <f t="shared" ref="E104:E107" si="14">F4</f>
        <v>-4</v>
      </c>
      <c r="F104" s="11" cm="1">
        <f t="array" ref="F104">SUMPRODUCT(G4:J4/F15,$G$2:$J$2)</f>
        <v>3.6923076923076925</v>
      </c>
      <c r="H104" s="11">
        <f t="shared" ref="H104:H107" si="15">F4</f>
        <v>-4</v>
      </c>
      <c r="I104" s="11">
        <f t="shared" ref="I104:I107" si="16">$F$38+$F$70*($I$44/$I$43)*(H104-$F$37)</f>
        <v>2.9861751152073732</v>
      </c>
    </row>
    <row r="105" spans="1:9" x14ac:dyDescent="0.45">
      <c r="E105" s="11">
        <f t="shared" si="14"/>
        <v>-3</v>
      </c>
      <c r="F105" s="11" cm="1">
        <f t="array" ref="F105">SUMPRODUCT(G5:J5/F16,$G$2:$J$2)</f>
        <v>1.0476190476190474</v>
      </c>
      <c r="H105" s="11">
        <f t="shared" si="15"/>
        <v>-3</v>
      </c>
      <c r="I105" s="11">
        <f t="shared" si="16"/>
        <v>2.989247311827957</v>
      </c>
    </row>
    <row r="106" spans="1:9" x14ac:dyDescent="0.45">
      <c r="E106" s="11">
        <f t="shared" si="14"/>
        <v>3</v>
      </c>
      <c r="F106" s="11" cm="1">
        <f t="array" ref="F106">SUMPRODUCT(G6:J6/F17,$G$2:$J$2)</f>
        <v>4.833333333333333</v>
      </c>
      <c r="H106" s="11">
        <f t="shared" si="15"/>
        <v>3</v>
      </c>
      <c r="I106" s="11">
        <f t="shared" si="16"/>
        <v>3.0076804915514614</v>
      </c>
    </row>
    <row r="107" spans="1:9" x14ac:dyDescent="0.45">
      <c r="E107" s="11">
        <f t="shared" si="14"/>
        <v>15</v>
      </c>
      <c r="F107" s="11" cm="1">
        <f t="array" ref="F107">SUMPRODUCT(G7:J7/F18,$G$2:$J$2)</f>
        <v>3.0416666666666741</v>
      </c>
      <c r="H107" s="11">
        <f t="shared" si="15"/>
        <v>15</v>
      </c>
      <c r="I107" s="11">
        <f t="shared" si="16"/>
        <v>3.0445468509984703</v>
      </c>
    </row>
    <row r="110" spans="1:9" x14ac:dyDescent="0.45">
      <c r="C110" t="s">
        <v>39</v>
      </c>
      <c r="D110">
        <f>$F$70*$I$44/$I$43</f>
        <v>3.0721966205840626E-3</v>
      </c>
      <c r="F110" s="18" t="s">
        <v>41</v>
      </c>
      <c r="G110" s="19" t="str">
        <f>_xlfn.CONCAT(TEXT(D111,"0,00000")," + ",TEXT(D110,"0,00000"),"y")</f>
        <v>2,99846 + 0,00307y</v>
      </c>
      <c r="H110" s="19"/>
    </row>
    <row r="111" spans="1:9" x14ac:dyDescent="0.45">
      <c r="C111" t="s">
        <v>40</v>
      </c>
      <c r="D111">
        <f>$F$38-($I$60/$F$43)*$F$37</f>
        <v>2.9984639016897092</v>
      </c>
    </row>
  </sheetData>
  <mergeCells count="18">
    <mergeCell ref="A9:D9"/>
    <mergeCell ref="A12:D12"/>
    <mergeCell ref="A21:D21"/>
    <mergeCell ref="G1:J1"/>
    <mergeCell ref="E3:E7"/>
    <mergeCell ref="A30:D30"/>
    <mergeCell ref="A35:D35"/>
    <mergeCell ref="A42:D42"/>
    <mergeCell ref="A48:D48"/>
    <mergeCell ref="A56:D56"/>
    <mergeCell ref="G96:H96"/>
    <mergeCell ref="G110:H110"/>
    <mergeCell ref="C59:F59"/>
    <mergeCell ref="A61:A65"/>
    <mergeCell ref="A68:D68"/>
    <mergeCell ref="A73:D73"/>
    <mergeCell ref="A79:D79"/>
    <mergeCell ref="A100:D100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ДЗ Стафеев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Thunderobot</dc:creator>
  <cp:lastModifiedBy>Иван Стафеев</cp:lastModifiedBy>
  <dcterms:created xsi:type="dcterms:W3CDTF">2015-06-05T18:19:34Z</dcterms:created>
  <dcterms:modified xsi:type="dcterms:W3CDTF">2024-12-13T11:36:56Z</dcterms:modified>
</cp:coreProperties>
</file>